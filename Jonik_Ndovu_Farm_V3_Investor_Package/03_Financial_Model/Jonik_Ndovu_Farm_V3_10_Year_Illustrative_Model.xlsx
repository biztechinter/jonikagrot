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10-Year Model" sheetId="3" state="visible" r:id="rId3"/>
    <sheet xmlns:r="http://schemas.openxmlformats.org/officeDocument/2006/relationships" name="Sources &amp; Uses" sheetId="4" state="visible" r:id="rId4"/>
    <sheet xmlns:r="http://schemas.openxmlformats.org/officeDocument/2006/relationships" name="Scenario Comp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color rgb="00153F35"/>
      <sz val="16"/>
    </font>
    <font>
      <b val="1"/>
      <color rgb="00FFFFFF"/>
    </font>
    <font>
      <b val="1"/>
      <color rgb="00153F35"/>
    </font>
  </fonts>
  <fills count="4">
    <fill>
      <patternFill/>
    </fill>
    <fill>
      <patternFill patternType="gray125"/>
    </fill>
    <fill>
      <patternFill patternType="solid">
        <fgColor rgb="00153F35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9" fontId="0" fillId="3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38" customWidth="1" min="2" max="2"/>
  </cols>
  <sheetData>
    <row r="1" ht="28" customHeight="1">
      <c r="A1" s="1" t="inlineStr">
        <is>
          <t>JONIK NDOVU FARM — VERSION 3.0 FINANCIAL WORKING MODEL</t>
        </is>
      </c>
      <c r="B1" s="1" t="n"/>
    </row>
    <row r="2">
      <c r="A2" s="2" t="n"/>
      <c r="B2" s="3" t="n"/>
    </row>
    <row r="3">
      <c r="A3" s="2" t="inlineStr">
        <is>
          <t>Status</t>
        </is>
      </c>
      <c r="B3" s="3" t="inlineStr">
        <is>
          <t>Illustrative placeholder model — not an investment-grade forecast</t>
        </is>
      </c>
    </row>
    <row r="4">
      <c r="A4" s="2" t="inlineStr">
        <is>
          <t>Fixed project brief</t>
        </is>
      </c>
      <c r="B4" s="3" t="inlineStr">
        <is>
          <t>US$2.4m total capital requirement including proposed additional land acquisition</t>
        </is>
      </c>
    </row>
    <row r="5">
      <c r="A5" s="2" t="inlineStr">
        <is>
          <t>Accommodation</t>
        </is>
      </c>
      <c r="B5" s="3" t="inlineStr">
        <is>
          <t>12–15 units; base case uses 12 units, 15-unit sensitivity separate</t>
        </is>
      </c>
    </row>
    <row r="6">
      <c r="A6" s="2" t="inlineStr">
        <is>
          <t>Important</t>
        </is>
      </c>
      <c r="B6" s="3" t="inlineStr">
        <is>
          <t>Replace every yellow input with verified land, QS, market, tax and operating data before investor use.</t>
        </is>
      </c>
    </row>
    <row r="7">
      <c r="A7" s="2" t="n"/>
      <c r="B7" s="3" t="n"/>
    </row>
    <row r="8">
      <c r="A8" s="2" t="inlineStr">
        <is>
          <t>Currency</t>
        </is>
      </c>
      <c r="B8" s="3" t="inlineStr">
        <is>
          <t>USD</t>
        </is>
      </c>
    </row>
    <row r="9">
      <c r="A9" s="2" t="inlineStr">
        <is>
          <t>Model convention</t>
        </is>
      </c>
      <c r="B9" s="3" t="inlineStr">
        <is>
          <t>Unlevered operating illustration; no financing, tax, depreciation or exit proceeds included.</t>
        </is>
      </c>
    </row>
    <row r="10">
      <c r="A10" s="2" t="inlineStr">
        <is>
          <t>Do not rely on output</t>
        </is>
      </c>
      <c r="B10" s="3" t="inlineStr">
        <is>
          <t>Occupancy, ADR, revenue, EBITDA and payback are placeholders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5" customWidth="1" min="2" max="2"/>
    <col width="38" customWidth="1" min="3" max="3"/>
    <col width="35" customWidth="1" min="4" max="4"/>
  </cols>
  <sheetData>
    <row r="1" ht="28" customHeight="1">
      <c r="A1" s="1" t="inlineStr">
        <is>
          <t>Input</t>
        </is>
      </c>
      <c r="B1" s="1" t="inlineStr">
        <is>
          <t>Value</t>
        </is>
      </c>
      <c r="C1" s="1" t="inlineStr">
        <is>
          <t>Units / note</t>
        </is>
      </c>
      <c r="D1" s="1" t="inlineStr">
        <is>
          <t>Status</t>
        </is>
      </c>
    </row>
    <row r="2">
      <c r="A2" s="2" t="inlineStr">
        <is>
          <t>Total capital requirement</t>
        </is>
      </c>
      <c r="B2" s="4" t="n">
        <v>2400000</v>
      </c>
      <c r="C2" s="3" t="inlineStr">
        <is>
          <t>USD; includes proposed additional land acquisition</t>
        </is>
      </c>
      <c r="D2" s="3" t="inlineStr">
        <is>
          <t>Project brief</t>
        </is>
      </c>
    </row>
    <row r="3">
      <c r="A3" s="2" t="inlineStr">
        <is>
          <t>Base accommodation units</t>
        </is>
      </c>
      <c r="B3" s="5" t="n">
        <v>12</v>
      </c>
      <c r="C3" s="3" t="inlineStr">
        <is>
          <t>units; 15-unit case can be modelled by changing input</t>
        </is>
      </c>
      <c r="D3" s="3" t="inlineStr">
        <is>
          <t>Developer-surveyed range 12–15</t>
        </is>
      </c>
    </row>
    <row r="4">
      <c r="A4" s="2" t="inlineStr">
        <is>
          <t>Available nights per unit</t>
        </is>
      </c>
      <c r="B4" s="5" t="n">
        <v>365</v>
      </c>
      <c r="C4" s="3" t="inlineStr">
        <is>
          <t>nights per year</t>
        </is>
      </c>
      <c r="D4" s="3" t="inlineStr">
        <is>
          <t>Assumption</t>
        </is>
      </c>
    </row>
    <row r="5">
      <c r="A5" s="2" t="inlineStr">
        <is>
          <t>Stabilized occupancy</t>
        </is>
      </c>
      <c r="B5" s="6" t="n">
        <v>0.55</v>
      </c>
      <c r="C5" s="3" t="inlineStr">
        <is>
          <t>% of available unit nights</t>
        </is>
      </c>
      <c r="D5" s="3" t="inlineStr">
        <is>
          <t>PLACEHOLDER — validate</t>
        </is>
      </c>
    </row>
    <row r="6">
      <c r="A6" s="2" t="inlineStr">
        <is>
          <t>Year 1 occupancy</t>
        </is>
      </c>
      <c r="B6" s="6" t="n">
        <v>0.3</v>
      </c>
      <c r="C6" s="3" t="inlineStr">
        <is>
          <t>%</t>
        </is>
      </c>
      <c r="D6" s="3" t="inlineStr">
        <is>
          <t>PLACEHOLDER — ramp-up</t>
        </is>
      </c>
    </row>
    <row r="7">
      <c r="A7" s="2" t="inlineStr">
        <is>
          <t>Year 2 occupancy</t>
        </is>
      </c>
      <c r="B7" s="6" t="n">
        <v>0.4</v>
      </c>
      <c r="C7" s="3" t="inlineStr">
        <is>
          <t>%</t>
        </is>
      </c>
      <c r="D7" s="3" t="inlineStr">
        <is>
          <t>PLACEHOLDER — ramp-up</t>
        </is>
      </c>
    </row>
    <row r="8">
      <c r="A8" s="2" t="inlineStr">
        <is>
          <t>Year 3 occupancy</t>
        </is>
      </c>
      <c r="B8" s="6" t="n">
        <v>0.48</v>
      </c>
      <c r="C8" s="3" t="inlineStr">
        <is>
          <t>%</t>
        </is>
      </c>
      <c r="D8" s="3" t="inlineStr">
        <is>
          <t>PLACEHOLDER — ramp-up</t>
        </is>
      </c>
    </row>
    <row r="9">
      <c r="A9" s="2" t="inlineStr">
        <is>
          <t>Average daily rate (ADR)</t>
        </is>
      </c>
      <c r="B9" s="5" t="n">
        <v>280</v>
      </c>
      <c r="C9" s="3" t="inlineStr">
        <is>
          <t>USD per occupied unit night</t>
        </is>
      </c>
      <c r="D9" s="3" t="inlineStr">
        <is>
          <t>PLACEHOLDER — market study needed</t>
        </is>
      </c>
    </row>
    <row r="10">
      <c r="A10" s="2" t="inlineStr">
        <is>
          <t>Other revenue as % room revenue</t>
        </is>
      </c>
      <c r="B10" s="5" t="n">
        <v>0.45</v>
      </c>
      <c r="C10" s="3" t="inlineStr">
        <is>
          <t>% food, beverage and experiences</t>
        </is>
      </c>
      <c r="D10" s="3" t="inlineStr">
        <is>
          <t>PLACEHOLDER — validate</t>
        </is>
      </c>
    </row>
    <row r="11">
      <c r="A11" s="2" t="inlineStr">
        <is>
          <t>Direct operating costs as % total revenue</t>
        </is>
      </c>
      <c r="B11" s="6" t="n">
        <v>0.38</v>
      </c>
      <c r="C11" s="3" t="inlineStr">
        <is>
          <t>%</t>
        </is>
      </c>
      <c r="D11" s="3" t="inlineStr">
        <is>
          <t>PLACEHOLDER — validate</t>
        </is>
      </c>
    </row>
    <row r="12">
      <c r="A12" s="2" t="inlineStr">
        <is>
          <t>Payroll &amp; admin as % total revenue</t>
        </is>
      </c>
      <c r="B12" s="6" t="n">
        <v>0.25</v>
      </c>
      <c r="C12" s="3" t="inlineStr">
        <is>
          <t>%</t>
        </is>
      </c>
      <c r="D12" s="3" t="inlineStr">
        <is>
          <t>PLACEHOLDER — validate</t>
        </is>
      </c>
    </row>
    <row r="13">
      <c r="A13" s="2" t="inlineStr">
        <is>
          <t>Sales &amp; distribution as % total revenue</t>
        </is>
      </c>
      <c r="B13" s="6" t="n">
        <v>0.08</v>
      </c>
      <c r="C13" s="3" t="inlineStr">
        <is>
          <t>%</t>
        </is>
      </c>
      <c r="D13" s="3" t="inlineStr">
        <is>
          <t>PLACEHOLDER — validate</t>
        </is>
      </c>
    </row>
    <row r="14">
      <c r="A14" s="2" t="inlineStr">
        <is>
          <t>Repairs, utilities &amp; other opex as % total revenue</t>
        </is>
      </c>
      <c r="B14" s="6" t="n">
        <v>0.08</v>
      </c>
      <c r="C14" s="3" t="inlineStr">
        <is>
          <t>%</t>
        </is>
      </c>
      <c r="D14" s="3" t="inlineStr">
        <is>
          <t>PLACEHOLDER — validate</t>
        </is>
      </c>
    </row>
    <row r="15">
      <c r="A15" s="2" t="inlineStr">
        <is>
          <t>Maintenance capex as % total revenue</t>
        </is>
      </c>
      <c r="B15" s="6" t="n">
        <v>0.04</v>
      </c>
      <c r="C15" s="3" t="inlineStr">
        <is>
          <t>%</t>
        </is>
      </c>
      <c r="D15" s="3" t="inlineStr">
        <is>
          <t>PLACEHOLDER — validate</t>
        </is>
      </c>
    </row>
    <row r="16">
      <c r="A16" s="2" t="inlineStr">
        <is>
          <t>Opening year</t>
        </is>
      </c>
      <c r="B16" s="6" t="n">
        <v>2028</v>
      </c>
      <c r="C16" s="3" t="inlineStr">
        <is>
          <t>illustrative only; not committed</t>
        </is>
      </c>
      <c r="D16" s="3" t="inlineStr">
        <is>
          <t>PLACEHOLDER</t>
        </is>
      </c>
    </row>
    <row r="17">
      <c r="A17" s="2" t="inlineStr">
        <is>
          <t>Additional land acquisition budget</t>
        </is>
      </c>
      <c r="B17" s="5" t="n">
        <v>0</v>
      </c>
      <c r="C17" s="3" t="inlineStr">
        <is>
          <t>USD; enter verified written offer incl transaction costs</t>
        </is>
      </c>
      <c r="D17" s="3" t="inlineStr">
        <is>
          <t>NOT YET VERIFIED</t>
        </is>
      </c>
    </row>
    <row r="18">
      <c r="A18" s="2" t="inlineStr">
        <is>
          <t>Development &amp; infrastructure budget</t>
        </is>
      </c>
      <c r="B18" s="4" t="n">
        <v>0</v>
      </c>
      <c r="C18" s="3" t="inlineStr">
        <is>
          <t>USD; enter QS cost plan</t>
        </is>
      </c>
      <c r="D18" s="3" t="inlineStr">
        <is>
          <t>NOT YET VERIFIED</t>
        </is>
      </c>
    </row>
    <row r="19">
      <c r="A19" s="2" t="inlineStr">
        <is>
          <t>FF&amp;E / OS&amp;E budget</t>
        </is>
      </c>
      <c r="B19" s="4" t="n">
        <v>0</v>
      </c>
      <c r="C19" s="3" t="inlineStr">
        <is>
          <t>USD; enter supplier-backed budget</t>
        </is>
      </c>
      <c r="D19" s="3" t="inlineStr">
        <is>
          <t>NOT YET VERIFIED</t>
        </is>
      </c>
    </row>
    <row r="20">
      <c r="A20" s="2" t="inlineStr">
        <is>
          <t>Professional fees &amp; approvals</t>
        </is>
      </c>
      <c r="B20" s="4" t="n">
        <v>0</v>
      </c>
      <c r="C20" s="3" t="inlineStr">
        <is>
          <t>USD; enter adviser estimates</t>
        </is>
      </c>
      <c r="D20" s="3" t="inlineStr">
        <is>
          <t>NOT YET VERIFIED</t>
        </is>
      </c>
    </row>
    <row r="21">
      <c r="A21" s="2" t="inlineStr">
        <is>
          <t>Pre-opening &amp; working capital</t>
        </is>
      </c>
      <c r="B21" s="4" t="n">
        <v>0</v>
      </c>
      <c r="C21" s="3" t="inlineStr">
        <is>
          <t>USD; enter operating plan</t>
        </is>
      </c>
      <c r="D21" s="3" t="inlineStr">
        <is>
          <t>NOT YET VERIFIED</t>
        </is>
      </c>
    </row>
    <row r="22">
      <c r="A22" s="2" t="inlineStr">
        <is>
          <t>Contingency</t>
        </is>
      </c>
      <c r="B22" s="4" t="n">
        <v>0</v>
      </c>
      <c r="C22" s="3" t="inlineStr">
        <is>
          <t>USD; set based on cost plan maturity</t>
        </is>
      </c>
      <c r="D22" s="3" t="inlineStr">
        <is>
          <t>NOT YET 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</cols>
  <sheetData>
    <row r="1" ht="28" customHeight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  <c r="E1" s="1" t="inlineStr">
        <is>
          <t>Year 4</t>
        </is>
      </c>
      <c r="F1" s="1" t="inlineStr">
        <is>
          <t>Year 5</t>
        </is>
      </c>
      <c r="G1" s="1" t="inlineStr">
        <is>
          <t>Year 6</t>
        </is>
      </c>
      <c r="H1" s="1" t="inlineStr">
        <is>
          <t>Year 7</t>
        </is>
      </c>
      <c r="I1" s="1" t="inlineStr">
        <is>
          <t>Year 8</t>
        </is>
      </c>
      <c r="J1" s="1" t="inlineStr">
        <is>
          <t>Year 9</t>
        </is>
      </c>
      <c r="K1" s="1" t="inlineStr">
        <is>
          <t>Year 10</t>
        </is>
      </c>
    </row>
    <row r="2">
      <c r="A2" s="2" t="inlineStr">
        <is>
          <t>Units</t>
        </is>
      </c>
      <c r="B2" s="3">
        <f>Inputs!B4</f>
        <v/>
      </c>
      <c r="C2" s="3">
        <f>Inputs!B4</f>
        <v/>
      </c>
      <c r="D2" s="3">
        <f>Inputs!B4</f>
        <v/>
      </c>
      <c r="E2" s="3">
        <f>Inputs!B4</f>
        <v/>
      </c>
      <c r="F2" s="3">
        <f>Inputs!B4</f>
        <v/>
      </c>
      <c r="G2" s="3">
        <f>Inputs!B4</f>
        <v/>
      </c>
      <c r="H2" s="3">
        <f>Inputs!B4</f>
        <v/>
      </c>
      <c r="I2" s="3">
        <f>Inputs!B4</f>
        <v/>
      </c>
      <c r="J2" s="3">
        <f>Inputs!B4</f>
        <v/>
      </c>
      <c r="K2" s="3">
        <f>Inputs!B4</f>
        <v/>
      </c>
    </row>
    <row r="3">
      <c r="A3" s="2" t="inlineStr">
        <is>
          <t>Occupancy</t>
        </is>
      </c>
      <c r="B3" s="7">
        <f>Inputs!B6</f>
        <v/>
      </c>
      <c r="C3" s="7">
        <f>Inputs!B7</f>
        <v/>
      </c>
      <c r="D3" s="7">
        <f>Inputs!B8</f>
        <v/>
      </c>
      <c r="E3" s="7">
        <f>Inputs!B5</f>
        <v/>
      </c>
      <c r="F3" s="7">
        <f>Inputs!B5</f>
        <v/>
      </c>
      <c r="G3" s="7">
        <f>Inputs!B5</f>
        <v/>
      </c>
      <c r="H3" s="7">
        <f>Inputs!B5</f>
        <v/>
      </c>
      <c r="I3" s="7">
        <f>Inputs!B5</f>
        <v/>
      </c>
      <c r="J3" s="7">
        <f>Inputs!B5</f>
        <v/>
      </c>
      <c r="K3" s="7">
        <f>Inputs!B5</f>
        <v/>
      </c>
    </row>
    <row r="4">
      <c r="A4" s="2" t="inlineStr">
        <is>
          <t>Available unit nights</t>
        </is>
      </c>
      <c r="B4" s="3">
        <f>B2*Inputs!B4</f>
        <v/>
      </c>
      <c r="C4" s="3">
        <f>C2*Inputs!B4</f>
        <v/>
      </c>
      <c r="D4" s="3">
        <f>D2*Inputs!B4</f>
        <v/>
      </c>
      <c r="E4" s="3">
        <f>E2*Inputs!B4</f>
        <v/>
      </c>
      <c r="F4" s="3">
        <f>F2*Inputs!B4</f>
        <v/>
      </c>
      <c r="G4" s="3">
        <f>G2*Inputs!B4</f>
        <v/>
      </c>
      <c r="H4" s="3">
        <f>H2*Inputs!B4</f>
        <v/>
      </c>
      <c r="I4" s="3">
        <f>I2*Inputs!B4</f>
        <v/>
      </c>
      <c r="J4" s="3">
        <f>J2*Inputs!B4</f>
        <v/>
      </c>
      <c r="K4" s="3">
        <f>K2*Inputs!B4</f>
        <v/>
      </c>
    </row>
    <row r="5">
      <c r="A5" s="2" t="inlineStr">
        <is>
          <t>Occupied unit nights</t>
        </is>
      </c>
      <c r="B5" s="3">
        <f>B4*B3</f>
        <v/>
      </c>
      <c r="C5" s="3">
        <f>C4*C3</f>
        <v/>
      </c>
      <c r="D5" s="3">
        <f>D4*D3</f>
        <v/>
      </c>
      <c r="E5" s="3">
        <f>E4*E3</f>
        <v/>
      </c>
      <c r="F5" s="3">
        <f>F4*F3</f>
        <v/>
      </c>
      <c r="G5" s="3">
        <f>G4*G3</f>
        <v/>
      </c>
      <c r="H5" s="3">
        <f>H4*H3</f>
        <v/>
      </c>
      <c r="I5" s="3">
        <f>I4*I3</f>
        <v/>
      </c>
      <c r="J5" s="3">
        <f>J4*J3</f>
        <v/>
      </c>
      <c r="K5" s="3">
        <f>K4*K3</f>
        <v/>
      </c>
    </row>
    <row r="6">
      <c r="A6" s="2" t="inlineStr">
        <is>
          <t>ADR</t>
        </is>
      </c>
      <c r="B6" s="3">
        <f>Inputs!B10</f>
        <v/>
      </c>
      <c r="C6" s="3">
        <f>Inputs!B10</f>
        <v/>
      </c>
      <c r="D6" s="3">
        <f>Inputs!B10</f>
        <v/>
      </c>
      <c r="E6" s="3">
        <f>Inputs!B10</f>
        <v/>
      </c>
      <c r="F6" s="3">
        <f>Inputs!B10</f>
        <v/>
      </c>
      <c r="G6" s="3">
        <f>Inputs!B10</f>
        <v/>
      </c>
      <c r="H6" s="3">
        <f>Inputs!B10</f>
        <v/>
      </c>
      <c r="I6" s="3">
        <f>Inputs!B10</f>
        <v/>
      </c>
      <c r="J6" s="3">
        <f>Inputs!B10</f>
        <v/>
      </c>
      <c r="K6" s="3">
        <f>Inputs!B10</f>
        <v/>
      </c>
    </row>
    <row r="7">
      <c r="A7" s="2" t="inlineStr">
        <is>
          <t>Room revenue</t>
        </is>
      </c>
      <c r="B7" s="8">
        <f>B5*B6</f>
        <v/>
      </c>
      <c r="C7" s="8">
        <f>C5*C6</f>
        <v/>
      </c>
      <c r="D7" s="8">
        <f>D5*D6</f>
        <v/>
      </c>
      <c r="E7" s="8">
        <f>E5*E6</f>
        <v/>
      </c>
      <c r="F7" s="8">
        <f>F5*F6</f>
        <v/>
      </c>
      <c r="G7" s="8">
        <f>G5*G6</f>
        <v/>
      </c>
      <c r="H7" s="8">
        <f>H5*H6</f>
        <v/>
      </c>
      <c r="I7" s="8">
        <f>I5*I6</f>
        <v/>
      </c>
      <c r="J7" s="8">
        <f>J5*J6</f>
        <v/>
      </c>
      <c r="K7" s="8">
        <f>K5*K6</f>
        <v/>
      </c>
    </row>
    <row r="8">
      <c r="A8" s="2" t="inlineStr">
        <is>
          <t>Other revenue</t>
        </is>
      </c>
      <c r="B8" s="8">
        <f>B7*Inputs!B11</f>
        <v/>
      </c>
      <c r="C8" s="8">
        <f>C7*Inputs!B11</f>
        <v/>
      </c>
      <c r="D8" s="8">
        <f>D7*Inputs!B11</f>
        <v/>
      </c>
      <c r="E8" s="8">
        <f>E7*Inputs!B11</f>
        <v/>
      </c>
      <c r="F8" s="8">
        <f>F7*Inputs!B11</f>
        <v/>
      </c>
      <c r="G8" s="8">
        <f>G7*Inputs!B11</f>
        <v/>
      </c>
      <c r="H8" s="8">
        <f>H7*Inputs!B11</f>
        <v/>
      </c>
      <c r="I8" s="8">
        <f>I7*Inputs!B11</f>
        <v/>
      </c>
      <c r="J8" s="8">
        <f>J7*Inputs!B11</f>
        <v/>
      </c>
      <c r="K8" s="8">
        <f>K7*Inputs!B11</f>
        <v/>
      </c>
    </row>
    <row r="9">
      <c r="A9" s="2" t="inlineStr">
        <is>
          <t>Total revenue</t>
        </is>
      </c>
      <c r="B9" s="8">
        <f>B7+B8</f>
        <v/>
      </c>
      <c r="C9" s="8">
        <f>C7+C8</f>
        <v/>
      </c>
      <c r="D9" s="8">
        <f>D7+D8</f>
        <v/>
      </c>
      <c r="E9" s="8">
        <f>E7+E8</f>
        <v/>
      </c>
      <c r="F9" s="8">
        <f>F7+F8</f>
        <v/>
      </c>
      <c r="G9" s="8">
        <f>G7+G8</f>
        <v/>
      </c>
      <c r="H9" s="8">
        <f>H7+H8</f>
        <v/>
      </c>
      <c r="I9" s="8">
        <f>I7+I8</f>
        <v/>
      </c>
      <c r="J9" s="8">
        <f>J7+J8</f>
        <v/>
      </c>
      <c r="K9" s="8">
        <f>K7+K8</f>
        <v/>
      </c>
    </row>
    <row r="10">
      <c r="A10" s="2" t="inlineStr">
        <is>
          <t>Direct operating costs</t>
        </is>
      </c>
      <c r="B10" s="8">
        <f>B9*Inputs!B12</f>
        <v/>
      </c>
      <c r="C10" s="8">
        <f>C9*Inputs!B12</f>
        <v/>
      </c>
      <c r="D10" s="8">
        <f>D9*Inputs!B12</f>
        <v/>
      </c>
      <c r="E10" s="8">
        <f>E9*Inputs!B12</f>
        <v/>
      </c>
      <c r="F10" s="8">
        <f>F9*Inputs!B12</f>
        <v/>
      </c>
      <c r="G10" s="8">
        <f>G9*Inputs!B12</f>
        <v/>
      </c>
      <c r="H10" s="8">
        <f>H9*Inputs!B12</f>
        <v/>
      </c>
      <c r="I10" s="8">
        <f>I9*Inputs!B12</f>
        <v/>
      </c>
      <c r="J10" s="8">
        <f>J9*Inputs!B12</f>
        <v/>
      </c>
      <c r="K10" s="8">
        <f>K9*Inputs!B12</f>
        <v/>
      </c>
    </row>
    <row r="11">
      <c r="A11" s="2" t="inlineStr">
        <is>
          <t>Payroll &amp; admin</t>
        </is>
      </c>
      <c r="B11" s="8">
        <f>B9*Inputs!B13</f>
        <v/>
      </c>
      <c r="C11" s="8">
        <f>C9*Inputs!B13</f>
        <v/>
      </c>
      <c r="D11" s="8">
        <f>D9*Inputs!B13</f>
        <v/>
      </c>
      <c r="E11" s="8">
        <f>E9*Inputs!B13</f>
        <v/>
      </c>
      <c r="F11" s="8">
        <f>F9*Inputs!B13</f>
        <v/>
      </c>
      <c r="G11" s="8">
        <f>G9*Inputs!B13</f>
        <v/>
      </c>
      <c r="H11" s="8">
        <f>H9*Inputs!B13</f>
        <v/>
      </c>
      <c r="I11" s="8">
        <f>I9*Inputs!B13</f>
        <v/>
      </c>
      <c r="J11" s="8">
        <f>J9*Inputs!B13</f>
        <v/>
      </c>
      <c r="K11" s="8">
        <f>K9*Inputs!B13</f>
        <v/>
      </c>
    </row>
    <row r="12">
      <c r="A12" s="2" t="inlineStr">
        <is>
          <t>Sales &amp; distribution</t>
        </is>
      </c>
      <c r="B12" s="8">
        <f>B9*Inputs!B14</f>
        <v/>
      </c>
      <c r="C12" s="8">
        <f>C9*Inputs!B14</f>
        <v/>
      </c>
      <c r="D12" s="8">
        <f>D9*Inputs!B14</f>
        <v/>
      </c>
      <c r="E12" s="8">
        <f>E9*Inputs!B14</f>
        <v/>
      </c>
      <c r="F12" s="8">
        <f>F9*Inputs!B14</f>
        <v/>
      </c>
      <c r="G12" s="8">
        <f>G9*Inputs!B14</f>
        <v/>
      </c>
      <c r="H12" s="8">
        <f>H9*Inputs!B14</f>
        <v/>
      </c>
      <c r="I12" s="8">
        <f>I9*Inputs!B14</f>
        <v/>
      </c>
      <c r="J12" s="8">
        <f>J9*Inputs!B14</f>
        <v/>
      </c>
      <c r="K12" s="8">
        <f>K9*Inputs!B14</f>
        <v/>
      </c>
    </row>
    <row r="13">
      <c r="A13" s="2" t="inlineStr">
        <is>
          <t>Repairs/utilities/other opex</t>
        </is>
      </c>
      <c r="B13" s="8">
        <f>B9*Inputs!B15</f>
        <v/>
      </c>
      <c r="C13" s="8">
        <f>C9*Inputs!B15</f>
        <v/>
      </c>
      <c r="D13" s="8">
        <f>D9*Inputs!B15</f>
        <v/>
      </c>
      <c r="E13" s="8">
        <f>E9*Inputs!B15</f>
        <v/>
      </c>
      <c r="F13" s="8">
        <f>F9*Inputs!B15</f>
        <v/>
      </c>
      <c r="G13" s="8">
        <f>G9*Inputs!B15</f>
        <v/>
      </c>
      <c r="H13" s="8">
        <f>H9*Inputs!B15</f>
        <v/>
      </c>
      <c r="I13" s="8">
        <f>I9*Inputs!B15</f>
        <v/>
      </c>
      <c r="J13" s="8">
        <f>J9*Inputs!B15</f>
        <v/>
      </c>
      <c r="K13" s="8">
        <f>K9*Inputs!B15</f>
        <v/>
      </c>
    </row>
    <row r="14">
      <c r="A14" s="2" t="inlineStr">
        <is>
          <t>Illustrative EBITDA</t>
        </is>
      </c>
      <c r="B14" s="8">
        <f>B9-B10-B11-B12-B13</f>
        <v/>
      </c>
      <c r="C14" s="8">
        <f>C9-C10-C11-C12-C13</f>
        <v/>
      </c>
      <c r="D14" s="8">
        <f>D9-D10-D11-D12-D13</f>
        <v/>
      </c>
      <c r="E14" s="8">
        <f>E9-E10-E11-E12-E13</f>
        <v/>
      </c>
      <c r="F14" s="8">
        <f>F9-F10-F11-F12-F13</f>
        <v/>
      </c>
      <c r="G14" s="8">
        <f>G9-G10-G11-G12-G13</f>
        <v/>
      </c>
      <c r="H14" s="8">
        <f>H9-H10-H11-H12-H13</f>
        <v/>
      </c>
      <c r="I14" s="8">
        <f>I9-I10-I11-I12-I13</f>
        <v/>
      </c>
      <c r="J14" s="8">
        <f>J9-J10-J11-J12-J13</f>
        <v/>
      </c>
      <c r="K14" s="8">
        <f>K9-K10-K11-K12-K13</f>
        <v/>
      </c>
    </row>
    <row r="15">
      <c r="A15" s="2" t="inlineStr">
        <is>
          <t>Maintenance capex</t>
        </is>
      </c>
      <c r="B15" s="8">
        <f>B9*Inputs!B16</f>
        <v/>
      </c>
      <c r="C15" s="8">
        <f>C9*Inputs!B16</f>
        <v/>
      </c>
      <c r="D15" s="8">
        <f>D9*Inputs!B16</f>
        <v/>
      </c>
      <c r="E15" s="8">
        <f>E9*Inputs!B16</f>
        <v/>
      </c>
      <c r="F15" s="8">
        <f>F9*Inputs!B16</f>
        <v/>
      </c>
      <c r="G15" s="8">
        <f>G9*Inputs!B16</f>
        <v/>
      </c>
      <c r="H15" s="8">
        <f>H9*Inputs!B16</f>
        <v/>
      </c>
      <c r="I15" s="8">
        <f>I9*Inputs!B16</f>
        <v/>
      </c>
      <c r="J15" s="8">
        <f>J9*Inputs!B16</f>
        <v/>
      </c>
      <c r="K15" s="8">
        <f>K9*Inputs!B16</f>
        <v/>
      </c>
    </row>
    <row r="16">
      <c r="A16" s="2" t="inlineStr">
        <is>
          <t>Illustrative cash before financing/tax</t>
        </is>
      </c>
      <c r="B16" s="8">
        <f>B14-B15</f>
        <v/>
      </c>
      <c r="C16" s="8">
        <f>C14-C15</f>
        <v/>
      </c>
      <c r="D16" s="8">
        <f>D14-D15</f>
        <v/>
      </c>
      <c r="E16" s="8">
        <f>E14-E15</f>
        <v/>
      </c>
      <c r="F16" s="8">
        <f>F14-F15</f>
        <v/>
      </c>
      <c r="G16" s="8">
        <f>G14-G15</f>
        <v/>
      </c>
      <c r="H16" s="8">
        <f>H14-H15</f>
        <v/>
      </c>
      <c r="I16" s="8">
        <f>I14-I15</f>
        <v/>
      </c>
      <c r="J16" s="8">
        <f>J14-J15</f>
        <v/>
      </c>
      <c r="K16" s="8">
        <f>K14-K15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5" customWidth="1" min="2" max="2"/>
    <col width="38" customWidth="1" min="3" max="3"/>
  </cols>
  <sheetData>
    <row r="1" ht="28" customHeight="1">
      <c r="A1" s="1" t="inlineStr">
        <is>
          <t>USES OF FUNDS</t>
        </is>
      </c>
      <c r="B1" s="1" t="inlineStr">
        <is>
          <t>USD</t>
        </is>
      </c>
      <c r="C1" s="1" t="inlineStr">
        <is>
          <t>Evidence / status</t>
        </is>
      </c>
    </row>
    <row r="2">
      <c r="A2" s="2" t="inlineStr">
        <is>
          <t>Land acquisition incl transaction costs</t>
        </is>
      </c>
      <c r="B2" s="8" t="n">
        <v>0</v>
      </c>
      <c r="C2" s="3" t="inlineStr">
        <is>
          <t>Enter verified written offer; included in US$2.4m total</t>
        </is>
      </c>
    </row>
    <row r="3">
      <c r="A3" s="2" t="inlineStr">
        <is>
          <t>Construction and infrastructure</t>
        </is>
      </c>
      <c r="B3" s="8" t="n">
        <v>0</v>
      </c>
      <c r="C3" s="3" t="inlineStr">
        <is>
          <t>QS cost plan required</t>
        </is>
      </c>
    </row>
    <row r="4">
      <c r="A4" s="2" t="inlineStr">
        <is>
          <t>FF&amp;E / OS&amp;E</t>
        </is>
      </c>
      <c r="B4" s="8" t="n">
        <v>0</v>
      </c>
      <c r="C4" s="3" t="inlineStr">
        <is>
          <t>Supplier-backed estimate required</t>
        </is>
      </c>
    </row>
    <row r="5">
      <c r="A5" s="2" t="inlineStr">
        <is>
          <t>Professional fees and approvals</t>
        </is>
      </c>
      <c r="B5" s="8" t="n">
        <v>0</v>
      </c>
      <c r="C5" s="3" t="inlineStr">
        <is>
          <t>Advisor estimates required</t>
        </is>
      </c>
    </row>
    <row r="6">
      <c r="A6" s="2" t="inlineStr">
        <is>
          <t>Pre-opening and working capital</t>
        </is>
      </c>
      <c r="B6" s="8" t="n">
        <v>0</v>
      </c>
      <c r="C6" s="3" t="inlineStr">
        <is>
          <t>Operating plan required</t>
        </is>
      </c>
    </row>
    <row r="7">
      <c r="A7" s="2" t="inlineStr">
        <is>
          <t>Contingency</t>
        </is>
      </c>
      <c r="B7" s="8" t="n">
        <v>0</v>
      </c>
      <c r="C7" s="3" t="inlineStr">
        <is>
          <t>QS recommendation required</t>
        </is>
      </c>
    </row>
    <row r="8">
      <c r="A8" s="2" t="inlineStr">
        <is>
          <t>TOTAL USES</t>
        </is>
      </c>
      <c r="B8" s="3">
        <f>SUM(B2:B7)</f>
        <v/>
      </c>
      <c r="C8" s="3" t="inlineStr">
        <is>
          <t>Must reconcile to US$2,400,000</t>
        </is>
      </c>
    </row>
    <row r="9">
      <c r="A9" s="2" t="inlineStr"/>
      <c r="B9" s="3" t="n"/>
      <c r="C9" s="3" t="n"/>
    </row>
    <row r="10">
      <c r="A10" s="2" t="inlineStr">
        <is>
          <t>SOURCES OF CAPITAL</t>
        </is>
      </c>
      <c r="B10" s="3" t="inlineStr">
        <is>
          <t>USD</t>
        </is>
      </c>
      <c r="C10" s="3" t="inlineStr">
        <is>
          <t>Status</t>
        </is>
      </c>
    </row>
    <row r="11">
      <c r="A11" s="2" t="inlineStr">
        <is>
          <t>Equity</t>
        </is>
      </c>
      <c r="B11" s="8" t="n">
        <v>2400000</v>
      </c>
      <c r="C11" s="3" t="inlineStr">
        <is>
          <t>Placeholder only; structure not agreed</t>
        </is>
      </c>
    </row>
    <row r="12">
      <c r="A12" s="2" t="inlineStr">
        <is>
          <t>Debt</t>
        </is>
      </c>
      <c r="B12" s="8" t="n">
        <v>0</v>
      </c>
      <c r="C12" s="3" t="inlineStr">
        <is>
          <t>Do not assume debt without lender terms and debt-service capacity</t>
        </is>
      </c>
    </row>
    <row r="13">
      <c r="A13" s="2" t="inlineStr">
        <is>
          <t>Other sources</t>
        </is>
      </c>
      <c r="B13" s="8" t="n">
        <v>0</v>
      </c>
      <c r="C13" s="3" t="inlineStr">
        <is>
          <t>Only if documented</t>
        </is>
      </c>
    </row>
    <row r="14">
      <c r="A14" s="2" t="inlineStr">
        <is>
          <t>TOTAL SOURCES</t>
        </is>
      </c>
      <c r="B14" s="8">
        <f>SUM(B11:B13)</f>
        <v/>
      </c>
      <c r="C14" s="3" t="inlineStr">
        <is>
          <t>Must equal total uses</t>
        </is>
      </c>
    </row>
    <row r="15">
      <c r="A15" s="2" t="inlineStr">
        <is>
          <t>Funding surplus / (gap)</t>
        </is>
      </c>
      <c r="B15" s="8">
        <f>B14-B8</f>
        <v/>
      </c>
      <c r="C15" s="3" t="inlineStr">
        <is>
          <t>Must be zero at final funding plan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5" customWidth="1" min="2" max="2"/>
    <col width="17" customWidth="1" min="3" max="3"/>
    <col width="22" customWidth="1" min="4" max="4"/>
    <col width="15" customWidth="1" min="5" max="5"/>
    <col width="25" customWidth="1" min="6" max="6"/>
    <col width="30" customWidth="1" min="7" max="7"/>
    <col width="38" customWidth="1" min="8" max="8"/>
    <col width="38" customWidth="1" min="9" max="9"/>
  </cols>
  <sheetData>
    <row r="1" ht="28" customHeight="1">
      <c r="A1" s="1" t="inlineStr">
        <is>
          <t>Scenario</t>
        </is>
      </c>
      <c r="B1" s="1" t="inlineStr">
        <is>
          <t>Units</t>
        </is>
      </c>
      <c r="C1" s="1" t="inlineStr">
        <is>
          <t>Total capex USD</t>
        </is>
      </c>
      <c r="D1" s="1" t="inlineStr">
        <is>
          <t>Stabilized occupancy</t>
        </is>
      </c>
      <c r="E1" s="1" t="inlineStr">
        <is>
          <t>ADR USD</t>
        </is>
      </c>
      <c r="F1" s="1" t="inlineStr">
        <is>
          <t>Annual room revenue USD</t>
        </is>
      </c>
      <c r="G1" s="1" t="inlineStr">
        <is>
          <t>Total revenue incl other USD</t>
        </is>
      </c>
      <c r="H1" s="1" t="inlineStr">
        <is>
          <t>EBITDA USD</t>
        </is>
      </c>
      <c r="I1" s="1" t="inlineStr">
        <is>
          <t>Status</t>
        </is>
      </c>
    </row>
    <row r="2">
      <c r="A2" s="2" t="inlineStr">
        <is>
          <t>Phased / 12-unit base</t>
        </is>
      </c>
      <c r="B2" s="3" t="n">
        <v>12</v>
      </c>
      <c r="C2" s="8" t="n">
        <v>2400000</v>
      </c>
      <c r="D2" s="7" t="n">
        <v>0.55</v>
      </c>
      <c r="E2" s="3" t="n">
        <v>280</v>
      </c>
      <c r="F2" s="8">
        <f>B2*365*D2*E2</f>
        <v/>
      </c>
      <c r="G2" s="8">
        <f>F2*(1+Inputs!B11)</f>
        <v/>
      </c>
      <c r="H2" s="8">
        <f>G2*(1-Inputs!B12-Inputs!B13-Inputs!B14-Inputs!B15)</f>
        <v/>
      </c>
      <c r="I2" s="3" t="inlineStr">
        <is>
          <t>Illustrative; phased capex and timing not modelled</t>
        </is>
      </c>
    </row>
    <row r="3">
      <c r="A3" s="2" t="inlineStr">
        <is>
          <t>Full / 15-unit sensitivity</t>
        </is>
      </c>
      <c r="B3" s="3" t="n">
        <v>15</v>
      </c>
      <c r="C3" s="8" t="n">
        <v>2400000</v>
      </c>
      <c r="D3" s="7" t="n">
        <v>0.55</v>
      </c>
      <c r="E3" s="3" t="n">
        <v>280</v>
      </c>
      <c r="F3" s="8">
        <f>B3*365*D3*E3</f>
        <v/>
      </c>
      <c r="G3" s="8">
        <f>F3*(1+Inputs!B11)</f>
        <v/>
      </c>
      <c r="H3" s="8">
        <f>G3*(1-Inputs!B12-Inputs!B13-Inputs!B14-Inputs!B15)</f>
        <v/>
      </c>
      <c r="I3" s="3" t="inlineStr">
        <is>
          <t>Illustrative; same capex assumption is not validated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2026-10-24T13:36:03Z</dcterms:created>
  <dcterms:modified xmlns:dcterms="http://purl.org/dc/terms/" xmlns:xsi="http://www.w3.org/2001/XMLSchema-instance" xsi:type="dcterms:W3CDTF">2026-10-24T13:36:03Z</dcterms:modified>
</cp:coreProperties>
</file>